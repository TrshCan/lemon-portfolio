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 activeTab="1"/>
  </bookViews>
  <sheets>
    <sheet name="1_2025" sheetId="1" r:id="rId1"/>
    <sheet name="2_2025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<sst xmlns="http://schemas.openxmlformats.org/spreadsheetml/2006/main" count="62" uniqueCount="19">
  <si>
    <t>value-changeable cell</t>
  </si>
  <si>
    <t>Gold</t>
  </si>
  <si>
    <t>Average Token</t>
  </si>
  <si>
    <t>Average Alchemy</t>
  </si>
  <si>
    <t>Total XP</t>
  </si>
  <si>
    <t>Dust Needed</t>
  </si>
  <si>
    <t>Total Alchemy</t>
  </si>
  <si>
    <t>Token Needed</t>
  </si>
  <si>
    <t>Average Key</t>
  </si>
  <si>
    <t>Average Frags</t>
  </si>
  <si>
    <t>Ingots</t>
  </si>
  <si>
    <t>Heroes Get</t>
  </si>
  <si>
    <t>Day</t>
  </si>
  <si>
    <t>Bronze</t>
  </si>
  <si>
    <t>Silver</t>
  </si>
  <si>
    <t>XP</t>
  </si>
  <si>
    <t>Total</t>
  </si>
  <si>
    <t xml:space="preserve">  </t>
  </si>
  <si>
    <t>Key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</si>
</sst>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);[Red]\(0.00\)"/>
  </numFmts>
  <fonts count="23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2"/>
      <color rgb="FF3A3A3A"/>
      <name val="helvetica"/>
      <charset val="134"/>
    </font>
    <font>
      <b/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5"/>
        <bgColor theme="4" tint="0.599993896298105"/>
      </patternFill>
    </fill>
    <fill>
      <patternFill patternType="solid">
        <fgColor theme="4" tint="0.4"/>
        <bgColor theme="4" tint="0.599993896298105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/>
      <top style="thick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1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16" applyNumberFormat="0" applyAlignment="0" applyProtection="0">
      <alignment vertical="center"/>
    </xf>
    <xf numFmtId="0" fontId="13" fillId="9" borderId="17" applyNumberFormat="0" applyAlignment="0" applyProtection="0">
      <alignment vertical="center"/>
    </xf>
    <xf numFmtId="0" fontId="14" fillId="9" borderId="16" applyNumberFormat="0" applyAlignment="0" applyProtection="0">
      <alignment vertical="center"/>
    </xf>
    <xf numFmtId="0" fontId="15" fillId="10" borderId="18" applyNumberFormat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>
      <alignment vertical="center"/>
    </xf>
    <xf numFmtId="0" fontId="0" fillId="0" borderId="1" xfId="0" applyBorder="1">
      <alignment vertical="center"/>
    </xf>
    <xf numFmtId="0" fontId="0" fillId="0" borderId="1" xfId="0" applyNumberFormat="1" applyBorder="1">
      <alignment vertical="center"/>
    </xf>
    <xf numFmtId="0" fontId="0" fillId="0" borderId="0" xfId="0" applyBorder="1">
      <alignment vertical="center"/>
    </xf>
    <xf numFmtId="178" fontId="0" fillId="0" borderId="1" xfId="0" applyNumberFormat="1" applyBorder="1">
      <alignment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0" fillId="4" borderId="6" xfId="0" applyFont="1" applyFill="1" applyBorder="1" applyAlignment="1">
      <alignment horizontal="center" vertical="center"/>
    </xf>
    <xf numFmtId="0" fontId="0" fillId="5" borderId="7" xfId="0" applyFont="1" applyFill="1" applyBorder="1" applyAlignment="1">
      <alignment horizontal="center" vertical="center"/>
    </xf>
    <xf numFmtId="0" fontId="0" fillId="4" borderId="8" xfId="0" applyFont="1" applyFill="1" applyBorder="1" applyAlignment="1">
      <alignment horizontal="center" vertical="center"/>
    </xf>
    <xf numFmtId="0" fontId="0" fillId="6" borderId="9" xfId="0" applyFont="1" applyFill="1" applyBorder="1" applyAlignment="1">
      <alignment horizontal="center" vertical="center"/>
    </xf>
    <xf numFmtId="0" fontId="0" fillId="6" borderId="10" xfId="0" applyFont="1" applyFill="1" applyBorder="1" applyAlignment="1">
      <alignment horizontal="center" vertical="center"/>
    </xf>
    <xf numFmtId="0" fontId="0" fillId="4" borderId="9" xfId="0" applyFont="1" applyFill="1" applyBorder="1" applyAlignment="1">
      <alignment horizontal="center" vertical="center"/>
    </xf>
    <xf numFmtId="0" fontId="0" fillId="4" borderId="10" xfId="0" applyFont="1" applyFill="1" applyBorder="1" applyAlignment="1">
      <alignment horizontal="center" vertical="center"/>
    </xf>
    <xf numFmtId="0" fontId="0" fillId="4" borderId="11" xfId="0" applyFont="1" applyFill="1" applyBorder="1" applyAlignment="1">
      <alignment horizontal="center" vertical="center"/>
    </xf>
    <xf numFmtId="0" fontId="0" fillId="4" borderId="12" xfId="0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2" borderId="1" xfId="0" applyNumberFormat="1" applyFill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0"/>
  <sheetViews>
    <sheetView workbookViewId="0">
      <selection activeCell="H14" sqref="H14"/>
    </sheetView>
  </sheetViews>
  <sheetFormatPr defaultColWidth="9.14285714285714" defaultRowHeight="15"/>
  <cols>
    <col min="1" max="1" width="11.7142857142857" customWidth="1"/>
    <col min="2" max="4" width="13.7142857142857" customWidth="1"/>
    <col min="5" max="5" width="15.1428571428571" customWidth="1"/>
    <col min="6" max="6" width="13.4285714285714" customWidth="1"/>
    <col min="7" max="7" width="12.1428571428571" customWidth="1"/>
    <col min="8" max="8" width="18.2857142857143" customWidth="1"/>
    <col min="9" max="9" width="13.4285714285714" customWidth="1"/>
    <col min="10" max="10" width="9.57142857142857"/>
    <col min="11" max="11" width="17.8571428571429" customWidth="1"/>
    <col min="12" max="12" width="18.2857142857143" customWidth="1"/>
  </cols>
  <sheetData>
    <row r="1" ht="25" customHeight="1" spans="1:7">
      <c r="A1" s="1">
        <v>520000</v>
      </c>
      <c r="B1" s="1">
        <v>200000</v>
      </c>
      <c r="C1" s="1">
        <v>20000</v>
      </c>
      <c r="D1">
        <v>220000</v>
      </c>
      <c r="F1" s="2" t="s">
        <v>0</v>
      </c>
      <c r="G1" s="2"/>
    </row>
    <row r="2" ht="25" customHeight="1" spans="11:12">
      <c r="K2" s="4" t="s">
        <v>1</v>
      </c>
      <c r="L2" s="21">
        <v>200000</v>
      </c>
    </row>
    <row r="3" ht="25" customHeight="1" spans="2:12">
      <c r="B3" s="3"/>
      <c r="K3" s="4" t="s">
        <v>2</v>
      </c>
      <c r="L3" s="4">
        <f>(L2/250*0.02)*150</f>
        <v>2400</v>
      </c>
    </row>
    <row r="4" ht="22" customHeight="1" spans="11:12">
      <c r="K4" s="4" t="s">
        <v>3</v>
      </c>
      <c r="L4" s="4">
        <f>L3/100</f>
        <v>24</v>
      </c>
    </row>
    <row r="5" ht="22" customHeight="1" spans="2:12">
      <c r="B5" s="4" t="s">
        <v>4</v>
      </c>
      <c r="C5" s="5">
        <f>SUM(F10:F40)</f>
        <v>0</v>
      </c>
      <c r="D5" s="6"/>
      <c r="E5" s="4" t="s">
        <v>5</v>
      </c>
      <c r="F5" s="7">
        <f>C6*1000</f>
        <v>0</v>
      </c>
      <c r="H5" s="4" t="s">
        <v>1</v>
      </c>
      <c r="I5" s="21">
        <v>500000</v>
      </c>
      <c r="K5" s="4" t="s">
        <v>5</v>
      </c>
      <c r="L5" s="7">
        <f>L4*1000</f>
        <v>24000</v>
      </c>
    </row>
    <row r="6" ht="22" customHeight="1" spans="2:12">
      <c r="B6" s="4" t="s">
        <v>6</v>
      </c>
      <c r="C6" s="7">
        <f>C5/(A1-B1-C1)</f>
        <v>0</v>
      </c>
      <c r="D6" s="6"/>
      <c r="E6" s="4" t="s">
        <v>7</v>
      </c>
      <c r="F6" s="7">
        <f>C6*100</f>
        <v>0</v>
      </c>
      <c r="H6" s="4" t="s">
        <v>2</v>
      </c>
      <c r="I6" s="4">
        <f>((I5/250*0.75*0.02)+(I5/250*0.25*0.04))*150</f>
        <v>7500</v>
      </c>
      <c r="K6" s="4" t="s">
        <v>8</v>
      </c>
      <c r="L6" s="7">
        <f>(L4*0.8*0.6625)+(L4*0.8*0.3375*2)+(L4*0.15*2*0.6625)+(L4*0.15*3*0.3375)+(L4*0.05*3)</f>
        <v>37.695</v>
      </c>
    </row>
    <row r="7" ht="22" customHeight="1" spans="2:9">
      <c r="B7" s="4" t="s">
        <v>9</v>
      </c>
      <c r="C7" s="7">
        <f>(C6*0.8*0.6625)+(C6*0.8*0.3375*2)+(C6*0.15*2*0.6625)+(C6*0.15*3*0.3375)+(C6*0.05*3)</f>
        <v>0</v>
      </c>
      <c r="D7" s="6"/>
      <c r="E7" s="4" t="s">
        <v>10</v>
      </c>
      <c r="F7" s="7">
        <f>C7/8</f>
        <v>0</v>
      </c>
      <c r="H7" s="4" t="s">
        <v>11</v>
      </c>
      <c r="I7" s="4">
        <f>I6/150</f>
        <v>50</v>
      </c>
    </row>
    <row r="8" ht="22" customHeight="1"/>
    <row r="9" ht="22" customHeight="1" spans="2:12">
      <c r="B9" s="8" t="s">
        <v>12</v>
      </c>
      <c r="C9" s="9" t="s">
        <v>13</v>
      </c>
      <c r="D9" s="9" t="s">
        <v>14</v>
      </c>
      <c r="E9" s="9" t="s">
        <v>1</v>
      </c>
      <c r="F9" s="10" t="s">
        <v>15</v>
      </c>
      <c r="H9" s="11"/>
      <c r="I9" s="4" t="s">
        <v>16</v>
      </c>
      <c r="J9" s="4" t="s">
        <v>15</v>
      </c>
      <c r="L9" s="6"/>
    </row>
    <row r="10" ht="22" customHeight="1" spans="2:10">
      <c r="B10" s="12">
        <v>1</v>
      </c>
      <c r="C10" s="13"/>
      <c r="D10" s="13"/>
      <c r="E10" s="13"/>
      <c r="F10" s="14">
        <f>C10*100+D10*1000+E10*2500</f>
        <v>0</v>
      </c>
      <c r="H10" s="4" t="s">
        <v>1</v>
      </c>
      <c r="I10" s="5">
        <f t="shared" ref="I10:I12" si="0">SUM(E10:E40)</f>
        <v>0</v>
      </c>
      <c r="J10" s="5">
        <f>I10*2500</f>
        <v>0</v>
      </c>
    </row>
    <row r="11" ht="22" customHeight="1" spans="2:10">
      <c r="B11" s="15">
        <v>2</v>
      </c>
      <c r="C11" s="13"/>
      <c r="D11" s="13"/>
      <c r="E11" s="13"/>
      <c r="F11" s="16">
        <f t="shared" ref="F11:F40" si="1">C11*100+D11*1000+E11*2500</f>
        <v>0</v>
      </c>
      <c r="H11" s="4" t="s">
        <v>14</v>
      </c>
      <c r="I11" s="5">
        <f>SUM(D10:D41)</f>
        <v>0</v>
      </c>
      <c r="J11" s="5">
        <f>I11*1000</f>
        <v>0</v>
      </c>
    </row>
    <row r="12" ht="22" customHeight="1" spans="2:10">
      <c r="B12" s="17">
        <v>3</v>
      </c>
      <c r="C12" s="13"/>
      <c r="D12" s="13"/>
      <c r="E12" s="13"/>
      <c r="F12" s="18">
        <f t="shared" si="1"/>
        <v>0</v>
      </c>
      <c r="H12" s="4" t="s">
        <v>13</v>
      </c>
      <c r="I12" s="5">
        <f>SUM(C10:C42)</f>
        <v>0</v>
      </c>
      <c r="J12" s="5">
        <f>I12*100</f>
        <v>0</v>
      </c>
    </row>
    <row r="13" ht="22" customHeight="1" spans="2:6">
      <c r="B13" s="15">
        <v>4</v>
      </c>
      <c r="C13" s="13"/>
      <c r="D13" s="13"/>
      <c r="E13" s="13"/>
      <c r="F13" s="16">
        <f t="shared" si="1"/>
        <v>0</v>
      </c>
    </row>
    <row r="14" ht="22" customHeight="1" spans="2:6">
      <c r="B14" s="17">
        <v>5</v>
      </c>
      <c r="C14" s="13"/>
      <c r="D14" s="13"/>
      <c r="E14" s="13"/>
      <c r="F14" s="18">
        <f t="shared" si="1"/>
        <v>0</v>
      </c>
    </row>
    <row r="15" ht="22" customHeight="1" spans="2:6">
      <c r="B15" s="15">
        <v>6</v>
      </c>
      <c r="C15" s="13"/>
      <c r="D15" s="13"/>
      <c r="E15" s="13"/>
      <c r="F15" s="16">
        <f t="shared" si="1"/>
        <v>0</v>
      </c>
    </row>
    <row r="16" ht="22" customHeight="1" spans="2:6">
      <c r="B16" s="17">
        <v>7</v>
      </c>
      <c r="C16" s="13"/>
      <c r="D16" s="13"/>
      <c r="E16" s="13"/>
      <c r="F16" s="18">
        <f t="shared" si="1"/>
        <v>0</v>
      </c>
    </row>
    <row r="17" ht="22" customHeight="1" spans="2:6">
      <c r="B17" s="15">
        <v>8</v>
      </c>
      <c r="C17" s="13"/>
      <c r="D17" s="13"/>
      <c r="E17" s="13"/>
      <c r="F17" s="16">
        <f t="shared" si="1"/>
        <v>0</v>
      </c>
    </row>
    <row r="18" ht="22" customHeight="1" spans="2:6">
      <c r="B18" s="17">
        <v>9</v>
      </c>
      <c r="C18" s="13"/>
      <c r="D18" s="13"/>
      <c r="E18" s="13"/>
      <c r="F18" s="18">
        <f t="shared" si="1"/>
        <v>0</v>
      </c>
    </row>
    <row r="19" ht="22" customHeight="1" spans="2:6">
      <c r="B19" s="15">
        <v>10</v>
      </c>
      <c r="C19" s="13"/>
      <c r="D19" s="13"/>
      <c r="E19" s="13"/>
      <c r="F19" s="16">
        <f t="shared" si="1"/>
        <v>0</v>
      </c>
    </row>
    <row r="20" ht="22" customHeight="1" spans="2:6">
      <c r="B20" s="17">
        <v>11</v>
      </c>
      <c r="C20" s="13"/>
      <c r="D20" s="13"/>
      <c r="E20" s="13"/>
      <c r="F20" s="18">
        <f t="shared" si="1"/>
        <v>0</v>
      </c>
    </row>
    <row r="21" ht="22" customHeight="1" spans="2:6">
      <c r="B21" s="15">
        <v>12</v>
      </c>
      <c r="C21" s="13"/>
      <c r="D21" s="13"/>
      <c r="E21" s="13"/>
      <c r="F21" s="16">
        <f t="shared" si="1"/>
        <v>0</v>
      </c>
    </row>
    <row r="22" ht="22" customHeight="1" spans="2:6">
      <c r="B22" s="17">
        <v>13</v>
      </c>
      <c r="C22" s="13"/>
      <c r="D22" s="13"/>
      <c r="E22" s="13"/>
      <c r="F22" s="18">
        <f t="shared" si="1"/>
        <v>0</v>
      </c>
    </row>
    <row r="23" ht="22" customHeight="1" spans="2:6">
      <c r="B23" s="15">
        <v>14</v>
      </c>
      <c r="C23" s="13"/>
      <c r="D23" s="13"/>
      <c r="E23" s="13"/>
      <c r="F23" s="16">
        <f t="shared" si="1"/>
        <v>0</v>
      </c>
    </row>
    <row r="24" ht="22" customHeight="1" spans="2:6">
      <c r="B24" s="17">
        <v>15</v>
      </c>
      <c r="C24" s="13"/>
      <c r="D24" s="13"/>
      <c r="E24" s="13"/>
      <c r="F24" s="18">
        <f t="shared" si="1"/>
        <v>0</v>
      </c>
    </row>
    <row r="25" ht="22" customHeight="1" spans="2:6">
      <c r="B25" s="15">
        <v>16</v>
      </c>
      <c r="C25" s="13"/>
      <c r="D25" s="13"/>
      <c r="E25" s="13"/>
      <c r="F25" s="16">
        <f t="shared" si="1"/>
        <v>0</v>
      </c>
    </row>
    <row r="26" ht="22" customHeight="1" spans="2:6">
      <c r="B26" s="17">
        <v>17</v>
      </c>
      <c r="C26" s="13"/>
      <c r="D26" s="13"/>
      <c r="E26" s="13"/>
      <c r="F26" s="18">
        <f t="shared" si="1"/>
        <v>0</v>
      </c>
    </row>
    <row r="27" ht="22" customHeight="1" spans="2:6">
      <c r="B27" s="15">
        <v>18</v>
      </c>
      <c r="C27" s="13"/>
      <c r="D27" s="13"/>
      <c r="E27" s="13"/>
      <c r="F27" s="16">
        <f t="shared" si="1"/>
        <v>0</v>
      </c>
    </row>
    <row r="28" ht="22" customHeight="1" spans="2:6">
      <c r="B28" s="17">
        <v>19</v>
      </c>
      <c r="C28" s="13"/>
      <c r="D28" s="13"/>
      <c r="E28" s="13"/>
      <c r="F28" s="18">
        <f t="shared" si="1"/>
        <v>0</v>
      </c>
    </row>
    <row r="29" ht="22" customHeight="1" spans="2:6">
      <c r="B29" s="15">
        <v>20</v>
      </c>
      <c r="C29" s="13"/>
      <c r="D29" s="13"/>
      <c r="E29" s="13"/>
      <c r="F29" s="16">
        <f t="shared" si="1"/>
        <v>0</v>
      </c>
    </row>
    <row r="30" ht="22" customHeight="1" spans="2:6">
      <c r="B30" s="17">
        <v>21</v>
      </c>
      <c r="C30" s="13"/>
      <c r="D30" s="13"/>
      <c r="E30" s="13"/>
      <c r="F30" s="18">
        <f t="shared" si="1"/>
        <v>0</v>
      </c>
    </row>
    <row r="31" ht="22" customHeight="1" spans="2:6">
      <c r="B31" s="15">
        <v>22</v>
      </c>
      <c r="C31" s="13"/>
      <c r="D31" s="13"/>
      <c r="E31" s="13"/>
      <c r="F31" s="16">
        <f t="shared" si="1"/>
        <v>0</v>
      </c>
    </row>
    <row r="32" ht="22" customHeight="1" spans="2:6">
      <c r="B32" s="17">
        <v>23</v>
      </c>
      <c r="C32" s="13"/>
      <c r="D32" s="13"/>
      <c r="E32" s="13"/>
      <c r="F32" s="18">
        <f t="shared" si="1"/>
        <v>0</v>
      </c>
    </row>
    <row r="33" ht="22" customHeight="1" spans="2:6">
      <c r="B33" s="15">
        <v>24</v>
      </c>
      <c r="C33" s="13"/>
      <c r="D33" s="13"/>
      <c r="E33" s="13"/>
      <c r="F33" s="16">
        <f t="shared" si="1"/>
        <v>0</v>
      </c>
    </row>
    <row r="34" ht="22" customHeight="1" spans="2:6">
      <c r="B34" s="17">
        <v>25</v>
      </c>
      <c r="C34" s="13"/>
      <c r="D34" s="13"/>
      <c r="E34" s="13"/>
      <c r="F34" s="18">
        <f t="shared" si="1"/>
        <v>0</v>
      </c>
    </row>
    <row r="35" ht="22" customHeight="1" spans="2:6">
      <c r="B35" s="15">
        <v>26</v>
      </c>
      <c r="C35" s="13"/>
      <c r="D35" s="13"/>
      <c r="E35" s="13"/>
      <c r="F35" s="16">
        <f t="shared" si="1"/>
        <v>0</v>
      </c>
    </row>
    <row r="36" ht="22" customHeight="1" spans="2:6">
      <c r="B36" s="17">
        <v>27</v>
      </c>
      <c r="C36" s="13"/>
      <c r="D36" s="13"/>
      <c r="E36" s="13"/>
      <c r="F36" s="18">
        <f t="shared" si="1"/>
        <v>0</v>
      </c>
    </row>
    <row r="37" ht="22" customHeight="1" spans="2:6">
      <c r="B37" s="15">
        <v>28</v>
      </c>
      <c r="C37" s="13"/>
      <c r="D37" s="13"/>
      <c r="E37" s="13"/>
      <c r="F37" s="16">
        <f t="shared" si="1"/>
        <v>0</v>
      </c>
    </row>
    <row r="38" ht="22" customHeight="1" spans="2:6">
      <c r="B38" s="17">
        <v>29</v>
      </c>
      <c r="C38" s="13"/>
      <c r="D38" s="13"/>
      <c r="E38" s="13"/>
      <c r="F38" s="18">
        <f t="shared" si="1"/>
        <v>0</v>
      </c>
    </row>
    <row r="39" ht="22" customHeight="1" spans="2:6">
      <c r="B39" s="15">
        <v>30</v>
      </c>
      <c r="C39" s="13"/>
      <c r="D39" s="13"/>
      <c r="E39" s="13"/>
      <c r="F39" s="16">
        <f t="shared" si="1"/>
        <v>0</v>
      </c>
    </row>
    <row r="40" ht="22" customHeight="1" spans="2:6">
      <c r="B40" s="19">
        <v>31</v>
      </c>
      <c r="C40" s="13"/>
      <c r="D40" s="13"/>
      <c r="E40" s="13"/>
      <c r="F40" s="20">
        <f t="shared" si="1"/>
        <v>0</v>
      </c>
    </row>
  </sheetData>
  <mergeCells count="1">
    <mergeCell ref="F1:G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0"/>
  <sheetViews>
    <sheetView tabSelected="1" zoomScale="85" zoomScaleNormal="85" workbookViewId="0">
      <selection activeCell="I26" sqref="I26"/>
    </sheetView>
  </sheetViews>
  <sheetFormatPr defaultColWidth="9.14285714285714" defaultRowHeight="15"/>
  <cols>
    <col min="1" max="1" width="11.7142857142857" customWidth="1"/>
    <col min="2" max="4" width="13.7142857142857" customWidth="1"/>
    <col min="5" max="5" width="15.1428571428571" customWidth="1"/>
    <col min="6" max="6" width="13.4285714285714" customWidth="1"/>
    <col min="7" max="7" width="12.1428571428571" customWidth="1"/>
    <col min="8" max="8" width="18.2857142857143" customWidth="1"/>
    <col min="9" max="9" width="13.4285714285714" customWidth="1"/>
    <col min="10" max="10" width="9.57142857142857"/>
    <col min="11" max="11" width="17.8571428571429" customWidth="1"/>
    <col min="12" max="12" width="18.2857142857143" customWidth="1"/>
    <col min="14" max="14" width="19.2857142857143" customWidth="1"/>
    <col min="15" max="15" width="17.7142857142857" customWidth="1"/>
  </cols>
  <sheetData>
    <row r="1" ht="25" customHeight="1" spans="1:7">
      <c r="A1" s="1">
        <v>520000</v>
      </c>
      <c r="B1" s="1">
        <v>200000</v>
      </c>
      <c r="C1" s="1">
        <v>20000</v>
      </c>
      <c r="D1">
        <v>220000</v>
      </c>
      <c r="F1" s="2" t="s">
        <v>0</v>
      </c>
      <c r="G1" s="2"/>
    </row>
    <row r="2" ht="25" customHeight="1" spans="11:12">
      <c r="K2" s="4" t="s">
        <v>1</v>
      </c>
      <c r="L2" s="21">
        <v>125000000</v>
      </c>
    </row>
    <row r="3" ht="25" customHeight="1" spans="2:15">
      <c r="B3" s="3"/>
      <c r="K3" s="4" t="s">
        <v>2</v>
      </c>
      <c r="L3" s="4">
        <f>(L2/250*0.02)*150</f>
        <v>1500000</v>
      </c>
      <c r="N3" s="4" t="s">
        <v>2</v>
      </c>
      <c r="O3" s="21">
        <v>2550</v>
      </c>
    </row>
    <row r="4" ht="22" customHeight="1" spans="11:15">
      <c r="K4" s="4" t="s">
        <v>3</v>
      </c>
      <c r="L4" s="4">
        <f>L3/100</f>
        <v>15000</v>
      </c>
      <c r="N4" s="4" t="s">
        <v>3</v>
      </c>
      <c r="O4" s="4">
        <f>O3/100</f>
        <v>25.5</v>
      </c>
    </row>
    <row r="5" ht="22" customHeight="1" spans="2:15">
      <c r="B5" s="4" t="s">
        <v>4</v>
      </c>
      <c r="C5" s="5">
        <f>SUM(F10:F40)</f>
        <v>109000000</v>
      </c>
      <c r="D5" s="6"/>
      <c r="E5" s="4" t="s">
        <v>5</v>
      </c>
      <c r="F5" s="7">
        <f>C6*1000</f>
        <v>363333.333333333</v>
      </c>
      <c r="H5" s="4" t="s">
        <v>1</v>
      </c>
      <c r="I5" s="21">
        <v>250000</v>
      </c>
      <c r="K5" s="4" t="s">
        <v>5</v>
      </c>
      <c r="L5" s="7">
        <f>L4*1000</f>
        <v>15000000</v>
      </c>
      <c r="N5" s="4" t="s">
        <v>5</v>
      </c>
      <c r="O5" s="7">
        <f>O4*1000</f>
        <v>25500</v>
      </c>
    </row>
    <row r="6" ht="22" customHeight="1" spans="2:15">
      <c r="B6" s="4" t="s">
        <v>6</v>
      </c>
      <c r="C6" s="7">
        <f>C5/(A1-B1-C1)</f>
        <v>363.333333333333</v>
      </c>
      <c r="D6" s="6"/>
      <c r="E6" s="4" t="s">
        <v>7</v>
      </c>
      <c r="F6" s="7">
        <f>C6*100</f>
        <v>36333.3333333333</v>
      </c>
      <c r="H6" s="4" t="s">
        <v>2</v>
      </c>
      <c r="I6" s="4">
        <f>((I5/250*0.75*0.02)+(I5/250*0.25*0.04))*150</f>
        <v>3750</v>
      </c>
      <c r="K6" s="4" t="s">
        <v>8</v>
      </c>
      <c r="L6" s="7">
        <f>(L4*0.8*0.6625)+(L4*0.8*0.3375*2)+(L4*0.15*2*0.6625)+(L4*0.15*3*0.3375)+(L4*0.05*3)</f>
        <v>23559.375</v>
      </c>
      <c r="N6" s="4" t="s">
        <v>8</v>
      </c>
      <c r="O6" s="7">
        <f>(O4*0.8*0.6625)+(O4*0.8*0.3375*2)+(O4*0.15*2*0.6625)+(O4*0.15*3*0.3375)+(O4*0.05*3)</f>
        <v>40.0509375</v>
      </c>
    </row>
    <row r="7" ht="22" customHeight="1" spans="2:9">
      <c r="B7" s="4" t="s">
        <v>9</v>
      </c>
      <c r="C7" s="7">
        <f>(C6*0.8*0.6625)+(C6*0.8*0.3375*2)+(C6*0.15*2*0.6625)+(C6*0.15*3*0.3375)+(C6*0.05*3)</f>
        <v>570.660416666667</v>
      </c>
      <c r="D7" s="6"/>
      <c r="E7" s="4" t="s">
        <v>10</v>
      </c>
      <c r="F7" s="7">
        <f>C7/8</f>
        <v>71.3325520833333</v>
      </c>
      <c r="H7" s="4" t="s">
        <v>11</v>
      </c>
      <c r="I7" s="4">
        <f>I6/150</f>
        <v>25</v>
      </c>
    </row>
    <row r="8" ht="22" customHeight="1" spans="16:16">
      <c r="P8" t="s">
        <v>17</v>
      </c>
    </row>
    <row r="9" ht="22" customHeight="1" spans="2:12">
      <c r="B9" s="8" t="s">
        <v>12</v>
      </c>
      <c r="C9" s="9" t="s">
        <v>13</v>
      </c>
      <c r="D9" s="9" t="s">
        <v>14</v>
      </c>
      <c r="E9" s="9" t="s">
        <v>1</v>
      </c>
      <c r="F9" s="10" t="s">
        <v>15</v>
      </c>
      <c r="H9" s="11"/>
      <c r="I9" s="4" t="s">
        <v>16</v>
      </c>
      <c r="J9" s="4" t="s">
        <v>15</v>
      </c>
      <c r="L9" s="6"/>
    </row>
    <row r="10" ht="22" customHeight="1" spans="2:10">
      <c r="B10" s="12">
        <v>1</v>
      </c>
      <c r="C10" s="13"/>
      <c r="D10" s="13"/>
      <c r="E10" s="13">
        <v>43600</v>
      </c>
      <c r="F10" s="14">
        <f>C10*100+D10*1000+E10*2500</f>
        <v>109000000</v>
      </c>
      <c r="H10" s="4" t="s">
        <v>1</v>
      </c>
      <c r="I10" s="5">
        <f>SUM(E10:E40)</f>
        <v>43600</v>
      </c>
      <c r="J10" s="5">
        <f>I10*2500</f>
        <v>109000000</v>
      </c>
    </row>
    <row r="11" ht="22" customHeight="1" spans="2:10">
      <c r="B11" s="15">
        <v>2</v>
      </c>
      <c r="C11" s="13"/>
      <c r="D11" s="13"/>
      <c r="E11" s="13"/>
      <c r="F11" s="16">
        <f t="shared" ref="F10:F40" si="0">C11*100+D11*1000+E11*2500</f>
        <v>0</v>
      </c>
      <c r="H11" s="4" t="s">
        <v>14</v>
      </c>
      <c r="I11" s="5">
        <f>SUM(D10:D41)</f>
        <v>0</v>
      </c>
      <c r="J11" s="5">
        <f>I11*1000</f>
        <v>0</v>
      </c>
    </row>
    <row r="12" ht="22" customHeight="1" spans="2:10">
      <c r="B12" s="17">
        <v>3</v>
      </c>
      <c r="C12" s="13"/>
      <c r="D12" s="13"/>
      <c r="E12" s="13"/>
      <c r="F12" s="18">
        <f t="shared" si="0"/>
        <v>0</v>
      </c>
      <c r="H12" s="4" t="s">
        <v>13</v>
      </c>
      <c r="I12" s="5">
        <f>SUM(C10:C42)</f>
        <v>0</v>
      </c>
      <c r="J12" s="5">
        <f>I12*100</f>
        <v>0</v>
      </c>
    </row>
    <row r="13" ht="22" customHeight="1" spans="2:6">
      <c r="B13" s="15">
        <v>4</v>
      </c>
      <c r="C13" s="13"/>
      <c r="D13" s="13"/>
      <c r="E13" s="13"/>
      <c r="F13" s="16">
        <f t="shared" si="0"/>
        <v>0</v>
      </c>
    </row>
    <row r="14" ht="22" customHeight="1" spans="2:9">
      <c r="B14" s="17">
        <v>5</v>
      </c>
      <c r="C14" s="13"/>
      <c r="D14" s="13"/>
      <c r="E14" s="13"/>
      <c r="F14" s="18">
        <f t="shared" si="0"/>
        <v>0</v>
      </c>
      <c r="H14" s="4" t="s">
        <v>18</v>
      </c>
      <c r="I14" s="21"/>
    </row>
    <row r="15" ht="22" customHeight="1" spans="2:9">
      <c r="B15" s="15">
        <v>6</v>
      </c>
      <c r="C15" s="13"/>
      <c r="D15" s="13"/>
      <c r="E15" s="13"/>
      <c r="F15" s="16">
        <f t="shared" si="0"/>
        <v>0</v>
      </c>
      <c r="H15" s="4"/>
      <c r="I15" s="4"/>
    </row>
    <row r="16" ht="22" customHeight="1" spans="2:6">
      <c r="B16" s="17">
        <v>7</v>
      </c>
      <c r="C16" s="13"/>
      <c r="D16" s="13"/>
      <c r="E16" s="13"/>
      <c r="F16" s="18">
        <f t="shared" si="0"/>
        <v>0</v>
      </c>
    </row>
    <row r="17" ht="22" customHeight="1" spans="2:6">
      <c r="B17" s="15">
        <v>8</v>
      </c>
      <c r="C17" s="13"/>
      <c r="D17" s="13"/>
      <c r="E17" s="13"/>
      <c r="F17" s="16">
        <f t="shared" si="0"/>
        <v>0</v>
      </c>
    </row>
    <row r="18" ht="22" customHeight="1" spans="2:12">
      <c r="B18" s="17">
        <v>9</v>
      </c>
      <c r="C18" s="13"/>
      <c r="D18" s="13"/>
      <c r="E18" s="13"/>
      <c r="F18" s="18">
        <f t="shared" si="0"/>
        <v>0</v>
      </c>
      <c r="H18" s="4" t="s">
        <v>4</v>
      </c>
      <c r="I18" s="22">
        <v>91912300</v>
      </c>
      <c r="J18" s="6"/>
      <c r="K18" s="4" t="s">
        <v>5</v>
      </c>
      <c r="L18" s="7">
        <f>I19*1000</f>
        <v>306374.333333333</v>
      </c>
    </row>
    <row r="19" ht="22" customHeight="1" spans="2:12">
      <c r="B19" s="15">
        <v>10</v>
      </c>
      <c r="C19" s="13"/>
      <c r="D19" s="13"/>
      <c r="E19" s="13"/>
      <c r="F19" s="16">
        <f t="shared" si="0"/>
        <v>0</v>
      </c>
      <c r="H19" s="4" t="s">
        <v>6</v>
      </c>
      <c r="I19" s="7">
        <f>I18/(A1-B1-C1)</f>
        <v>306.374333333333</v>
      </c>
      <c r="J19" s="6"/>
      <c r="K19" s="4" t="s">
        <v>7</v>
      </c>
      <c r="L19" s="7">
        <f>I19*100</f>
        <v>30637.4333333333</v>
      </c>
    </row>
    <row r="20" ht="22" customHeight="1" spans="2:12">
      <c r="B20" s="17">
        <v>11</v>
      </c>
      <c r="C20" s="13"/>
      <c r="D20" s="13"/>
      <c r="E20" s="13"/>
      <c r="F20" s="18">
        <f t="shared" si="0"/>
        <v>0</v>
      </c>
      <c r="H20" s="4" t="s">
        <v>9</v>
      </c>
      <c r="I20" s="7">
        <f>(I19*0.8*0.6625)+(I19*0.8*0.3375*2)+(I19*0.15*2*0.6625)+(I19*0.15*3*0.3375)+(I19*0.05*3)</f>
        <v>481.199187291667</v>
      </c>
      <c r="J20" s="6"/>
      <c r="K20" s="4" t="s">
        <v>10</v>
      </c>
      <c r="L20" s="7">
        <f>I20/8</f>
        <v>60.1498984114583</v>
      </c>
    </row>
    <row r="21" ht="22" customHeight="1" spans="2:6">
      <c r="B21" s="15">
        <v>12</v>
      </c>
      <c r="C21" s="13"/>
      <c r="D21" s="13"/>
      <c r="E21" s="13"/>
      <c r="F21" s="16">
        <f t="shared" si="0"/>
        <v>0</v>
      </c>
    </row>
    <row r="22" ht="22" customHeight="1" spans="2:6">
      <c r="B22" s="17">
        <v>13</v>
      </c>
      <c r="C22" s="13"/>
      <c r="D22" s="13"/>
      <c r="E22" s="13"/>
      <c r="F22" s="18">
        <f t="shared" si="0"/>
        <v>0</v>
      </c>
    </row>
    <row r="23" ht="22" customHeight="1" spans="2:12">
      <c r="B23" s="15">
        <v>14</v>
      </c>
      <c r="C23" s="13"/>
      <c r="D23" s="13"/>
      <c r="E23" s="13"/>
      <c r="F23" s="16">
        <f t="shared" si="0"/>
        <v>0</v>
      </c>
      <c r="I23" t="e" cm="1">
        <f t="array" ref="I23">image(_xlfn.CONCAT("https://www.youtube.com"))</f>
        <v>#NAME?</v>
      </c>
      <c r="K23">
        <v>525</v>
      </c>
      <c r="L23">
        <f>K23/5</f>
        <v>105</v>
      </c>
    </row>
    <row r="24" ht="22" customHeight="1" spans="2:11">
      <c r="B24" s="17">
        <v>15</v>
      </c>
      <c r="C24" s="13"/>
      <c r="D24" s="13"/>
      <c r="E24" s="13"/>
      <c r="F24" s="18">
        <f t="shared" si="0"/>
        <v>0</v>
      </c>
      <c r="K24">
        <f>3200*(1+0.5+0.3)*L23</f>
        <v>604800</v>
      </c>
    </row>
    <row r="25" ht="22" customHeight="1" spans="2:6">
      <c r="B25" s="15">
        <v>16</v>
      </c>
      <c r="C25" s="13"/>
      <c r="D25" s="13"/>
      <c r="E25" s="13"/>
      <c r="F25" s="16">
        <f t="shared" si="0"/>
        <v>0</v>
      </c>
    </row>
    <row r="26" ht="22" customHeight="1" spans="2:6">
      <c r="B26" s="17">
        <v>17</v>
      </c>
      <c r="C26" s="13"/>
      <c r="D26" s="13"/>
      <c r="E26" s="13"/>
      <c r="F26" s="18">
        <f t="shared" si="0"/>
        <v>0</v>
      </c>
    </row>
    <row r="27" ht="22" customHeight="1" spans="2:6">
      <c r="B27" s="15">
        <v>18</v>
      </c>
      <c r="C27" s="13"/>
      <c r="D27" s="13"/>
      <c r="E27" s="13"/>
      <c r="F27" s="16">
        <f t="shared" si="0"/>
        <v>0</v>
      </c>
    </row>
    <row r="28" ht="22" customHeight="1" spans="2:6">
      <c r="B28" s="17">
        <v>19</v>
      </c>
      <c r="C28" s="13"/>
      <c r="D28" s="13"/>
      <c r="E28" s="13"/>
      <c r="F28" s="18">
        <f t="shared" si="0"/>
        <v>0</v>
      </c>
    </row>
    <row r="29" ht="22" customHeight="1" spans="2:6">
      <c r="B29" s="15">
        <v>20</v>
      </c>
      <c r="C29" s="13"/>
      <c r="D29" s="13"/>
      <c r="E29" s="13"/>
      <c r="F29" s="16">
        <f t="shared" si="0"/>
        <v>0</v>
      </c>
    </row>
    <row r="30" ht="22" customHeight="1" spans="2:6">
      <c r="B30" s="17">
        <v>21</v>
      </c>
      <c r="C30" s="13"/>
      <c r="D30" s="13"/>
      <c r="E30" s="13"/>
      <c r="F30" s="18">
        <f t="shared" si="0"/>
        <v>0</v>
      </c>
    </row>
    <row r="31" ht="22" customHeight="1" spans="2:6">
      <c r="B31" s="15">
        <v>22</v>
      </c>
      <c r="C31" s="13"/>
      <c r="D31" s="13"/>
      <c r="E31" s="13"/>
      <c r="F31" s="16">
        <f t="shared" si="0"/>
        <v>0</v>
      </c>
    </row>
    <row r="32" ht="22" customHeight="1" spans="2:6">
      <c r="B32" s="17">
        <v>23</v>
      </c>
      <c r="C32" s="13"/>
      <c r="D32" s="13"/>
      <c r="E32" s="13"/>
      <c r="F32" s="18">
        <f t="shared" si="0"/>
        <v>0</v>
      </c>
    </row>
    <row r="33" ht="22" customHeight="1" spans="2:6">
      <c r="B33" s="15">
        <v>24</v>
      </c>
      <c r="C33" s="13"/>
      <c r="D33" s="13"/>
      <c r="E33" s="13"/>
      <c r="F33" s="16">
        <f t="shared" si="0"/>
        <v>0</v>
      </c>
    </row>
    <row r="34" ht="22" customHeight="1" spans="2:6">
      <c r="B34" s="17">
        <v>25</v>
      </c>
      <c r="C34" s="13"/>
      <c r="D34" s="13"/>
      <c r="E34" s="13"/>
      <c r="F34" s="18">
        <f t="shared" si="0"/>
        <v>0</v>
      </c>
    </row>
    <row r="35" ht="22" customHeight="1" spans="2:6">
      <c r="B35" s="15">
        <v>26</v>
      </c>
      <c r="C35" s="13"/>
      <c r="D35" s="13"/>
      <c r="E35" s="13"/>
      <c r="F35" s="16">
        <f t="shared" si="0"/>
        <v>0</v>
      </c>
    </row>
    <row r="36" ht="22" customHeight="1" spans="2:6">
      <c r="B36" s="17">
        <v>27</v>
      </c>
      <c r="C36" s="13"/>
      <c r="D36" s="13"/>
      <c r="E36" s="13"/>
      <c r="F36" s="18">
        <f t="shared" si="0"/>
        <v>0</v>
      </c>
    </row>
    <row r="37" ht="22" customHeight="1" spans="2:6">
      <c r="B37" s="15">
        <v>28</v>
      </c>
      <c r="C37" s="13"/>
      <c r="D37" s="13"/>
      <c r="E37" s="13"/>
      <c r="F37" s="16">
        <f t="shared" si="0"/>
        <v>0</v>
      </c>
    </row>
    <row r="38" ht="22" customHeight="1" spans="2:6">
      <c r="B38" s="17">
        <v>29</v>
      </c>
      <c r="C38" s="13"/>
      <c r="D38" s="13"/>
      <c r="E38" s="13"/>
      <c r="F38" s="18">
        <f t="shared" si="0"/>
        <v>0</v>
      </c>
    </row>
    <row r="39" ht="22" customHeight="1" spans="2:6">
      <c r="B39" s="15">
        <v>30</v>
      </c>
      <c r="C39" s="13"/>
      <c r="D39" s="13"/>
      <c r="E39" s="13"/>
      <c r="F39" s="16">
        <f t="shared" si="0"/>
        <v>0</v>
      </c>
    </row>
    <row r="40" ht="22" customHeight="1" spans="2:6">
      <c r="B40" s="19">
        <v>31</v>
      </c>
      <c r="C40" s="13"/>
      <c r="D40" s="13"/>
      <c r="E40" s="13"/>
      <c r="F40" s="20">
        <f t="shared" si="0"/>
        <v>0</v>
      </c>
    </row>
  </sheetData>
  <mergeCells count="1">
    <mergeCell ref="F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1_2025</vt:lpstr>
      <vt:lpstr>2_2025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JackF</dc:creator>
  <cp:lastModifiedBy>Kiệt Bùi Anh</cp:lastModifiedBy>
  <dcterms:created xsi:type="dcterms:W3CDTF">2025-01-27T03:58:00Z</dcterms:created>
  <dcterms:modified xsi:type="dcterms:W3CDTF">2025-12-23T13:12:51Z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C2240D8FB889430B8893FBA4A98595ED_11</vt:lpwstr>
  </property>
  <property fmtid="{D5CDD505-2E9C-101B-9397-08002B2CF9AE}" pid="3" name="KSOProductBuildVer">
    <vt:lpwstr>1033-12.2.0.23155</vt:lpwstr>
  </property>
</Properties>
</file>